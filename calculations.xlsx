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deep\Project\shareholding\"/>
    </mc:Choice>
  </mc:AlternateContent>
  <xr:revisionPtr revIDLastSave="0" documentId="13_ncr:1_{852D71D9-A141-4B22-AB0D-FC34FD6CF980}" xr6:coauthVersionLast="47" xr6:coauthVersionMax="47" xr10:uidLastSave="{00000000-0000-0000-0000-000000000000}"/>
  <bookViews>
    <workbookView xWindow="-120" yWindow="-120" windowWidth="29040" windowHeight="15720" xr2:uid="{4414EE0B-FAEA-480E-BD6D-5F4429858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" i="1" l="1"/>
  <c r="O6" i="1"/>
  <c r="O7" i="1"/>
  <c r="O4" i="1"/>
  <c r="O5" i="1"/>
  <c r="O3" i="1"/>
  <c r="H4" i="1"/>
  <c r="I4" i="1"/>
  <c r="H5" i="1"/>
  <c r="I5" i="1"/>
  <c r="I3" i="1"/>
  <c r="H3" i="1"/>
</calcChain>
</file>

<file path=xl/sharedStrings.xml><?xml version="1.0" encoding="utf-8"?>
<sst xmlns="http://schemas.openxmlformats.org/spreadsheetml/2006/main" count="15" uniqueCount="14">
  <si>
    <t>Shareholding</t>
  </si>
  <si>
    <t xml:space="preserve">QoQ Chg </t>
  </si>
  <si>
    <t>YoY Chg</t>
  </si>
  <si>
    <t>Promoter</t>
  </si>
  <si>
    <t>FII</t>
  </si>
  <si>
    <t>DII</t>
  </si>
  <si>
    <t>Cash Flow</t>
  </si>
  <si>
    <t>CFO</t>
  </si>
  <si>
    <t>CFI</t>
  </si>
  <si>
    <t>CFF</t>
  </si>
  <si>
    <t>,978</t>
  </si>
  <si>
    <t>Free Cash Flow</t>
  </si>
  <si>
    <t>Net Cash Flow</t>
  </si>
  <si>
    <t>CFO/OP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</si>
</sst>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22222F"/>
      <name val="Arial"/>
      <family val="2"/>
    </font>
    <font>
      <sz val="14"/>
      <color theme="1"/>
      <name val="Aptos Narrow"/>
      <family val="2"/>
      <scheme val="minor"/>
    </font>
    <font>
      <sz val="14"/>
      <color rgb="FF22222F"/>
      <name val="Arial"/>
      <family val="2"/>
    </font>
    <font>
      <sz val="14"/>
      <color rgb="FF606F7B"/>
      <name val="Arial"/>
      <family val="2"/>
    </font>
    <font>
      <sz val="14"/>
      <color theme="1"/>
      <name val="Aptos Display"/>
      <family val="2"/>
      <scheme val="maj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17" fontId="0" fillId="0" borderId="1" xfId="0" applyNumberFormat="1" applyBorder="1"/>
    <xf numFmtId="10" fontId="1" fillId="3" borderId="1" xfId="0" applyNumberFormat="1" applyFont="1" applyFill="1" applyBorder="1" applyAlignment="1">
      <alignment horizontal="right" vertical="center" wrapText="1" indent="1"/>
    </xf>
    <xf numFmtId="10" fontId="0" fillId="0" borderId="1" xfId="0" applyNumberFormat="1" applyBorder="1"/>
    <xf numFmtId="10" fontId="1" fillId="2" borderId="1" xfId="0" applyNumberFormat="1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3" fontId="3" fillId="3" borderId="1" xfId="0" applyNumberFormat="1" applyFont="1" applyFill="1" applyBorder="1" applyAlignment="1">
      <alignment horizontal="right" vertical="center" wrapText="1" indent="1"/>
    </xf>
    <xf numFmtId="3" fontId="3" fillId="2" borderId="1" xfId="0" applyNumberFormat="1" applyFont="1" applyFill="1" applyBorder="1" applyAlignment="1">
      <alignment horizontal="right" vertical="center" wrapText="1" indent="1"/>
    </xf>
    <xf numFmtId="0" fontId="4" fillId="3" borderId="1" xfId="0" applyFont="1" applyFill="1" applyBorder="1" applyAlignment="1">
      <alignment horizontal="right" vertical="center" wrapText="1" indent="1"/>
    </xf>
    <xf numFmtId="3" fontId="4" fillId="3" borderId="1" xfId="0" applyNumberFormat="1" applyFont="1" applyFill="1" applyBorder="1" applyAlignment="1">
      <alignment horizontal="right" vertical="center" wrapText="1" indent="1"/>
    </xf>
    <xf numFmtId="9" fontId="4" fillId="2" borderId="1" xfId="0" applyNumberFormat="1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7" fontId="5" fillId="0" borderId="1" xfId="0" applyNumberFormat="1" applyFont="1" applyBorder="1"/>
    <xf numFmtId="0" fontId="6" fillId="0" borderId="1" xfId="0" applyFont="1" applyBorder="1"/>
    <xf numFmtId="9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6704-58A4-4E89-8785-12B1AAB36350}">
  <dimension ref="A1:O8"/>
  <sheetViews>
    <sheetView tabSelected="1" workbookViewId="0">
      <selection activeCell="K3" sqref="K3:O8"/>
    </sheetView>
  </sheetViews>
  <sheetFormatPr defaultRowHeight="15" x14ac:dyDescent="0.25"/>
  <cols>
    <col min="1" max="1" width="12.7109375" bestFit="1" customWidth="1"/>
    <col min="2" max="2" width="10.7109375" customWidth="1"/>
    <col min="4" max="4" width="11.140625" customWidth="1"/>
    <col min="11" max="11" width="18.140625" bestFit="1" customWidth="1"/>
    <col min="12" max="14" width="10.42578125" bestFit="1" customWidth="1"/>
    <col min="15" max="15" width="12.85546875" bestFit="1" customWidth="1"/>
  </cols>
  <sheetData>
    <row r="1" spans="1:15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K1" s="14" t="s">
        <v>6</v>
      </c>
      <c r="L1" s="14"/>
      <c r="M1" s="14"/>
      <c r="N1" s="14"/>
      <c r="O1" s="14"/>
    </row>
    <row r="2" spans="1:15" ht="18.75" x14ac:dyDescent="0.3">
      <c r="A2" s="2"/>
      <c r="B2" s="3">
        <v>45627</v>
      </c>
      <c r="C2" s="3">
        <v>45717</v>
      </c>
      <c r="D2" s="3">
        <v>45809</v>
      </c>
      <c r="E2" s="3">
        <v>45901</v>
      </c>
      <c r="F2" s="3">
        <v>45992</v>
      </c>
      <c r="G2" s="3">
        <v>46082</v>
      </c>
      <c r="H2" s="2" t="s">
        <v>1</v>
      </c>
      <c r="I2" s="2" t="s">
        <v>2</v>
      </c>
      <c r="K2" s="15"/>
      <c r="L2" s="16">
        <v>45352</v>
      </c>
      <c r="M2" s="16">
        <v>45717</v>
      </c>
      <c r="N2" s="16">
        <v>46082</v>
      </c>
      <c r="O2" s="15" t="s">
        <v>2</v>
      </c>
    </row>
    <row r="3" spans="1:15" ht="18" x14ac:dyDescent="0.25">
      <c r="A3" s="2" t="s">
        <v>3</v>
      </c>
      <c r="B3" s="4">
        <v>0.14760000000000001</v>
      </c>
      <c r="C3" s="4">
        <v>0.14199999999999999</v>
      </c>
      <c r="D3" s="4">
        <v>6.2700000000000006E-2</v>
      </c>
      <c r="E3" s="4">
        <v>6.2600000000000003E-2</v>
      </c>
      <c r="F3" s="4">
        <v>6.25E-2</v>
      </c>
      <c r="G3" s="4">
        <v>6.2399999999999997E-2</v>
      </c>
      <c r="H3" s="5">
        <f>G3-F3</f>
        <v>-1.0000000000000286E-4</v>
      </c>
      <c r="I3" s="5">
        <f>G3-C3</f>
        <v>-7.959999999999999E-2</v>
      </c>
      <c r="K3" s="17" t="s">
        <v>7</v>
      </c>
      <c r="L3" s="7">
        <v>-470</v>
      </c>
      <c r="M3" s="8">
        <v>-2411</v>
      </c>
      <c r="N3" s="8">
        <v>-2921</v>
      </c>
      <c r="O3" s="17">
        <f>(N3/M3-1)*100</f>
        <v>21.153048527581909</v>
      </c>
    </row>
    <row r="4" spans="1:15" ht="18" x14ac:dyDescent="0.25">
      <c r="A4" s="2" t="s">
        <v>4</v>
      </c>
      <c r="B4" s="6">
        <v>0.66159999999999997</v>
      </c>
      <c r="C4" s="6">
        <v>0.67220000000000002</v>
      </c>
      <c r="D4" s="6">
        <v>0.68540000000000001</v>
      </c>
      <c r="E4" s="6">
        <v>0.65869999999999995</v>
      </c>
      <c r="F4" s="6">
        <v>0.65510000000000002</v>
      </c>
      <c r="G4" s="6">
        <v>0.63329999999999997</v>
      </c>
      <c r="H4" s="5">
        <f t="shared" ref="H4:H5" si="0">G4-F4</f>
        <v>-2.1800000000000042E-2</v>
      </c>
      <c r="I4" s="5">
        <f t="shared" ref="I4:I5" si="1">G4-C4</f>
        <v>-3.8900000000000046E-2</v>
      </c>
      <c r="K4" s="17" t="s">
        <v>8</v>
      </c>
      <c r="L4" s="9">
        <v>-1574</v>
      </c>
      <c r="M4" s="9">
        <v>-1065</v>
      </c>
      <c r="N4" s="9">
        <v>-1613</v>
      </c>
      <c r="O4" s="17">
        <f t="shared" ref="O4:O7" si="2">(N4/M4-1)*100</f>
        <v>51.455399061032871</v>
      </c>
    </row>
    <row r="5" spans="1:15" ht="18" x14ac:dyDescent="0.25">
      <c r="A5" s="2" t="s">
        <v>5</v>
      </c>
      <c r="B5" s="4">
        <v>9.7299999999999998E-2</v>
      </c>
      <c r="C5" s="4">
        <v>8.48E-2</v>
      </c>
      <c r="D5" s="4">
        <v>7.8700000000000006E-2</v>
      </c>
      <c r="E5" s="4">
        <v>0.10680000000000001</v>
      </c>
      <c r="F5" s="4">
        <v>0.1082</v>
      </c>
      <c r="G5" s="4">
        <v>0.12859999999999999</v>
      </c>
      <c r="H5" s="5">
        <f t="shared" si="0"/>
        <v>2.0399999999999988E-2</v>
      </c>
      <c r="I5" s="5">
        <f t="shared" si="1"/>
        <v>4.3799999999999992E-2</v>
      </c>
      <c r="K5" s="17" t="s">
        <v>9</v>
      </c>
      <c r="L5" s="7" t="s">
        <v>10</v>
      </c>
      <c r="M5" s="8">
        <v>3773</v>
      </c>
      <c r="N5" s="8">
        <v>4357</v>
      </c>
      <c r="O5" s="17">
        <f t="shared" si="2"/>
        <v>15.478399151868549</v>
      </c>
    </row>
    <row r="6" spans="1:15" ht="18" x14ac:dyDescent="0.25">
      <c r="K6" s="17" t="s">
        <v>12</v>
      </c>
      <c r="L6" s="13">
        <v>-67</v>
      </c>
      <c r="M6" s="13">
        <v>297</v>
      </c>
      <c r="N6" s="13">
        <v>-177</v>
      </c>
      <c r="O6" s="17">
        <f t="shared" si="2"/>
        <v>-159.59595959595961</v>
      </c>
    </row>
    <row r="7" spans="1:15" ht="18" x14ac:dyDescent="0.25">
      <c r="K7" s="17" t="s">
        <v>11</v>
      </c>
      <c r="L7" s="10">
        <v>-571</v>
      </c>
      <c r="M7" s="11">
        <v>-2458</v>
      </c>
      <c r="N7" s="11">
        <v>-3017</v>
      </c>
      <c r="O7" s="17">
        <f t="shared" si="2"/>
        <v>22.742066720911303</v>
      </c>
    </row>
    <row r="8" spans="1:15" ht="18" x14ac:dyDescent="0.25">
      <c r="K8" s="17" t="s">
        <v>13</v>
      </c>
      <c r="L8" s="12">
        <v>-0.12</v>
      </c>
      <c r="M8" s="12">
        <v>-0.88</v>
      </c>
      <c r="N8" s="12">
        <v>-0.9</v>
      </c>
      <c r="O8" s="18">
        <f>N8-M8</f>
        <v>-2.0000000000000018E-2</v>
      </c>
    </row>
  </sheetData>
  <mergeCells count="2">
    <mergeCell ref="A1:I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pradeep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rajpoot</dc:creator>
  <cp:lastModifiedBy>pradeep rajpoot</cp:lastModifiedBy>
  <dcterms:created xsi:type="dcterms:W3CDTF">2026-05-19T02:40:45Z</dcterms:created>
  <dcterms:modified xsi:type="dcterms:W3CDTF">2026-05-19T04:53:33Z</dcterms:modified>
</cp:coreProperties>
</file>